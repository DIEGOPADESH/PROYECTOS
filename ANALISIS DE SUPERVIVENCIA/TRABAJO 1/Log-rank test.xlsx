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>
    <definedName localSheetId="1" name="DatosExternos_2">Hoja2!#REF!</definedName>
    <definedName localSheetId="1" name="DatosExternos_1">Hoja2!$A$1:$D$45</definedName>
  </definedNames>
  <calcPr/>
  <extLst>
    <ext uri="GoogleSheetsCustomDataVersion1">
      <go:sheetsCustomData xmlns:go="http://customooxmlschemas.google.com/" r:id="rId7" roundtripDataSignature="AMtx7mj6Aj7lrxNWWKNW96KXmBEFsV2y2A=="/>
    </ext>
  </extLst>
</workbook>
</file>

<file path=xl/sharedStrings.xml><?xml version="1.0" encoding="utf-8"?>
<sst xmlns="http://schemas.openxmlformats.org/spreadsheetml/2006/main" count="23" uniqueCount="22">
  <si>
    <t>tj</t>
  </si>
  <si>
    <t>m1j</t>
  </si>
  <si>
    <t>m2j</t>
  </si>
  <si>
    <t>c1j</t>
  </si>
  <si>
    <t>c2j</t>
  </si>
  <si>
    <t>n1j</t>
  </si>
  <si>
    <t>n2j</t>
  </si>
  <si>
    <t>e1j</t>
  </si>
  <si>
    <t>e2j</t>
  </si>
  <si>
    <t>m1j-e1j</t>
  </si>
  <si>
    <t>m2j-e2j</t>
  </si>
  <si>
    <t>varianza</t>
  </si>
  <si>
    <t>Log-rank test</t>
  </si>
  <si>
    <t>Infinito</t>
  </si>
  <si>
    <t>Totales</t>
  </si>
  <si>
    <t>id</t>
  </si>
  <si>
    <t>group</t>
  </si>
  <si>
    <t>time</t>
  </si>
  <si>
    <t>status</t>
  </si>
  <si>
    <t>(Todas)</t>
  </si>
  <si>
    <t>Etiquetas de fila</t>
  </si>
  <si>
    <t>Total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</si>
</sst>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FFFF00"/>
        <bgColor rgb="FFFFFF00"/>
      </patternFill>
    </fill>
  </fills>
  <borders count="19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thin">
        <color rgb="FFA8D08D"/>
      </top>
      <bottom style="thin">
        <color rgb="FFA8D08D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thin">
        <color rgb="FFA8D08D"/>
      </top>
      <bottom style="thin">
        <color rgb="FFA8D08D"/>
      </bottom>
    </border>
    <border>
      <left/>
      <right/>
      <top style="thin">
        <color rgb="FFA8D08D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5" fillId="3" fontId="1" numFmtId="0" xfId="0" applyAlignment="1" applyBorder="1" applyFill="1" applyFont="1">
      <alignment horizont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7" fillId="0" fontId="1" numFmtId="164" xfId="0" applyAlignment="1" applyBorder="1" applyFont="1" applyNumberFormat="1">
      <alignment horizontal="center"/>
    </xf>
    <xf borderId="8" fillId="0" fontId="1" numFmtId="164" xfId="0" applyAlignment="1" applyBorder="1" applyFont="1" applyNumberFormat="1">
      <alignment horizontal="center"/>
    </xf>
    <xf borderId="9" fillId="0" fontId="1" numFmtId="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11" fillId="3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3" fillId="0" fontId="1" numFmtId="164" xfId="0" applyAlignment="1" applyBorder="1" applyFont="1" applyNumberFormat="1">
      <alignment horizontal="center"/>
    </xf>
    <xf borderId="14" fillId="0" fontId="1" numFmtId="164" xfId="0" applyAlignment="1" applyBorder="1" applyFont="1" applyNumberFormat="1">
      <alignment horizontal="center"/>
    </xf>
    <xf borderId="0" fillId="0" fontId="1" numFmtId="0" xfId="0" applyFont="1"/>
    <xf borderId="15" fillId="3" fontId="1" numFmtId="0" xfId="0" applyAlignment="1" applyBorder="1" applyFont="1">
      <alignment horizontal="center"/>
    </xf>
    <xf borderId="0" fillId="0" fontId="2" numFmtId="0" xfId="0" applyFont="1"/>
    <xf borderId="16" fillId="4" fontId="1" numFmtId="0" xfId="0" applyBorder="1" applyFill="1" applyFont="1"/>
    <xf borderId="17" fillId="0" fontId="1" numFmtId="0" xfId="0" applyBorder="1" applyFont="1"/>
    <xf borderId="17" fillId="0" fontId="1" numFmtId="164" xfId="0" applyBorder="1" applyFont="1" applyNumberFormat="1"/>
    <xf borderId="18" fillId="0" fontId="1" numFmtId="164" xfId="0" applyBorder="1" applyFont="1" applyNumberFormat="1"/>
    <xf borderId="0" fillId="0" fontId="2" numFmtId="0" xfId="0" applyFont="1"/>
    <xf borderId="0" fillId="0" fontId="1" numFmtId="0" xfId="0" applyAlignment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Hoja2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45" displayName="Table_1" id="1">
  <tableColumns count="4">
    <tableColumn name="id" id="1"/>
    <tableColumn name="group" id="2"/>
    <tableColumn name="time" id="3"/>
    <tableColumn name="status" id="4"/>
  </tableColumns>
  <tableStyleInfo name="Hoja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hidden="1" min="2" max="2" width="10.71"/>
    <col customWidth="1" min="3" max="3" width="12.57"/>
    <col customWidth="1" min="4" max="5" width="5.71"/>
    <col customWidth="1" min="6" max="6" width="4.57"/>
    <col customWidth="1" min="7" max="9" width="5.0"/>
    <col customWidth="1" min="10" max="11" width="12.0"/>
    <col customWidth="1" min="12" max="13" width="12.71"/>
    <col customWidth="1" min="14" max="14" width="12.0"/>
    <col customWidth="1" min="15" max="15" width="10.71"/>
    <col customWidth="1" min="16" max="16" width="12.43"/>
    <col customWidth="1" min="17" max="26" width="10.71"/>
  </cols>
  <sheetData>
    <row r="1">
      <c r="B1" s="1"/>
      <c r="C1" s="2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4" t="s">
        <v>11</v>
      </c>
      <c r="P1" s="5" t="s">
        <v>12</v>
      </c>
    </row>
    <row r="2">
      <c r="B2" s="6">
        <v>2.0</v>
      </c>
      <c r="C2" s="7" t="str">
        <f t="shared" ref="C2:C23" si="2">CONCAT("[",B2,",",B3,")")</f>
        <v>#N/A</v>
      </c>
      <c r="D2" s="8">
        <v>2.0</v>
      </c>
      <c r="E2" s="8">
        <v>1.0</v>
      </c>
      <c r="F2" s="8">
        <v>0.0</v>
      </c>
      <c r="G2" s="8">
        <v>0.0</v>
      </c>
      <c r="H2" s="8">
        <v>22.0</v>
      </c>
      <c r="I2" s="8">
        <v>22.0</v>
      </c>
      <c r="J2" s="9">
        <f t="shared" ref="J2:J24" si="4">(H2/(H2+I2))*(D2+E2)</f>
        <v>1.5</v>
      </c>
      <c r="K2" s="9">
        <f t="shared" ref="K2:K24" si="5">(I2/(H2+I2))*(E2+D2)</f>
        <v>1.5</v>
      </c>
      <c r="L2" s="9">
        <f t="shared" ref="L2:M2" si="1">D2-J2</f>
        <v>0.5</v>
      </c>
      <c r="M2" s="9">
        <f t="shared" si="1"/>
        <v>-0.5</v>
      </c>
      <c r="N2" s="10">
        <f t="shared" ref="N2:N24" si="7">(H2*I2*(D2+E2)*(H2+I2-D2-E2))/(((H2+I2)^2)*(H2+I2-1))</f>
        <v>0.7151162791</v>
      </c>
      <c r="P2" s="11">
        <f>L26^2/N26</f>
        <v>4.591490148</v>
      </c>
    </row>
    <row r="3">
      <c r="B3" s="12">
        <v>3.0</v>
      </c>
      <c r="C3" s="7" t="str">
        <f t="shared" si="2"/>
        <v>#N/A</v>
      </c>
      <c r="D3" s="8">
        <v>0.0</v>
      </c>
      <c r="E3" s="8">
        <v>1.0</v>
      </c>
      <c r="F3" s="8">
        <v>0.0</v>
      </c>
      <c r="G3" s="8">
        <v>0.0</v>
      </c>
      <c r="H3" s="8">
        <f t="shared" ref="H3:I3" si="3">H2-(D2+F2)</f>
        <v>20</v>
      </c>
      <c r="I3" s="8">
        <f t="shared" si="3"/>
        <v>21</v>
      </c>
      <c r="J3" s="9">
        <f t="shared" si="4"/>
        <v>0.487804878</v>
      </c>
      <c r="K3" s="9">
        <f t="shared" si="5"/>
        <v>0.512195122</v>
      </c>
      <c r="L3" s="9">
        <f t="shared" ref="L3:M3" si="6">D3-J3</f>
        <v>-0.487804878</v>
      </c>
      <c r="M3" s="9">
        <f t="shared" si="6"/>
        <v>0.487804878</v>
      </c>
      <c r="N3" s="10">
        <f t="shared" si="7"/>
        <v>0.249851279</v>
      </c>
    </row>
    <row r="4">
      <c r="B4" s="6">
        <v>4.0</v>
      </c>
      <c r="C4" s="7" t="str">
        <f t="shared" si="2"/>
        <v>#N/A</v>
      </c>
      <c r="D4" s="8">
        <v>0.0</v>
      </c>
      <c r="E4" s="8">
        <v>1.0</v>
      </c>
      <c r="F4" s="8">
        <v>0.0</v>
      </c>
      <c r="G4" s="8">
        <v>0.0</v>
      </c>
      <c r="H4" s="8">
        <f t="shared" ref="H4:I4" si="8">H3-(D3+F3)</f>
        <v>20</v>
      </c>
      <c r="I4" s="8">
        <f t="shared" si="8"/>
        <v>20</v>
      </c>
      <c r="J4" s="9">
        <f t="shared" si="4"/>
        <v>0.5</v>
      </c>
      <c r="K4" s="9">
        <f t="shared" si="5"/>
        <v>0.5</v>
      </c>
      <c r="L4" s="9">
        <f t="shared" ref="L4:M4" si="9">D4-J4</f>
        <v>-0.5</v>
      </c>
      <c r="M4" s="9">
        <f t="shared" si="9"/>
        <v>0.5</v>
      </c>
      <c r="N4" s="10">
        <f t="shared" si="7"/>
        <v>0.25</v>
      </c>
    </row>
    <row r="5">
      <c r="B5" s="12">
        <v>7.0</v>
      </c>
      <c r="C5" s="7" t="str">
        <f t="shared" si="2"/>
        <v>#N/A</v>
      </c>
      <c r="D5" s="8">
        <v>0.0</v>
      </c>
      <c r="E5" s="8">
        <v>1.0</v>
      </c>
      <c r="F5" s="8">
        <v>0.0</v>
      </c>
      <c r="G5" s="8">
        <v>0.0</v>
      </c>
      <c r="H5" s="8">
        <f t="shared" ref="H5:I5" si="10">H4-(D4+F4)</f>
        <v>20</v>
      </c>
      <c r="I5" s="8">
        <f t="shared" si="10"/>
        <v>19</v>
      </c>
      <c r="J5" s="9">
        <f t="shared" si="4"/>
        <v>0.5128205128</v>
      </c>
      <c r="K5" s="9">
        <f t="shared" si="5"/>
        <v>0.4871794872</v>
      </c>
      <c r="L5" s="9">
        <f t="shared" ref="L5:M5" si="11">D5-J5</f>
        <v>-0.5128205128</v>
      </c>
      <c r="M5" s="9">
        <f t="shared" si="11"/>
        <v>0.5128205128</v>
      </c>
      <c r="N5" s="10">
        <f t="shared" si="7"/>
        <v>0.2498356345</v>
      </c>
    </row>
    <row r="6">
      <c r="B6" s="6">
        <v>10.0</v>
      </c>
      <c r="C6" s="7" t="str">
        <f t="shared" si="2"/>
        <v>#N/A</v>
      </c>
      <c r="D6" s="8">
        <v>0.0</v>
      </c>
      <c r="E6" s="8">
        <v>1.0</v>
      </c>
      <c r="F6" s="8">
        <v>0.0</v>
      </c>
      <c r="G6" s="8">
        <v>0.0</v>
      </c>
      <c r="H6" s="8">
        <f t="shared" ref="H6:I6" si="12">H5-(D5+F5)</f>
        <v>20</v>
      </c>
      <c r="I6" s="8">
        <f t="shared" si="12"/>
        <v>18</v>
      </c>
      <c r="J6" s="9">
        <f t="shared" si="4"/>
        <v>0.5263157895</v>
      </c>
      <c r="K6" s="9">
        <f t="shared" si="5"/>
        <v>0.4736842105</v>
      </c>
      <c r="L6" s="9">
        <f t="shared" ref="L6:M6" si="13">D6-J6</f>
        <v>-0.5263157895</v>
      </c>
      <c r="M6" s="9">
        <f t="shared" si="13"/>
        <v>0.5263157895</v>
      </c>
      <c r="N6" s="10">
        <f t="shared" si="7"/>
        <v>0.2493074792</v>
      </c>
    </row>
    <row r="7">
      <c r="B7" s="12">
        <v>12.0</v>
      </c>
      <c r="C7" s="7" t="str">
        <f t="shared" si="2"/>
        <v>#N/A</v>
      </c>
      <c r="D7" s="8">
        <v>1.0</v>
      </c>
      <c r="E7" s="8">
        <v>0.0</v>
      </c>
      <c r="F7" s="8">
        <v>0.0</v>
      </c>
      <c r="G7" s="8">
        <v>0.0</v>
      </c>
      <c r="H7" s="8">
        <f t="shared" ref="H7:I7" si="14">H6-(D6+F6)</f>
        <v>20</v>
      </c>
      <c r="I7" s="8">
        <f t="shared" si="14"/>
        <v>17</v>
      </c>
      <c r="J7" s="9">
        <f t="shared" si="4"/>
        <v>0.5405405405</v>
      </c>
      <c r="K7" s="9">
        <f t="shared" si="5"/>
        <v>0.4594594595</v>
      </c>
      <c r="L7" s="9">
        <f t="shared" ref="L7:M7" si="15">D7-J7</f>
        <v>0.4594594595</v>
      </c>
      <c r="M7" s="9">
        <f t="shared" si="15"/>
        <v>-0.4594594595</v>
      </c>
      <c r="N7" s="10">
        <f t="shared" si="7"/>
        <v>0.2483564646</v>
      </c>
    </row>
    <row r="8">
      <c r="B8" s="6">
        <v>22.0</v>
      </c>
      <c r="C8" s="7" t="str">
        <f t="shared" si="2"/>
        <v>#N/A</v>
      </c>
      <c r="D8" s="8">
        <v>0.0</v>
      </c>
      <c r="E8" s="8">
        <v>1.0</v>
      </c>
      <c r="F8" s="8">
        <v>0.0</v>
      </c>
      <c r="G8" s="8">
        <v>0.0</v>
      </c>
      <c r="H8" s="8">
        <f t="shared" ref="H8:I8" si="16">H7-(D7+F7)</f>
        <v>19</v>
      </c>
      <c r="I8" s="8">
        <f t="shared" si="16"/>
        <v>17</v>
      </c>
      <c r="J8" s="9">
        <f t="shared" si="4"/>
        <v>0.5277777778</v>
      </c>
      <c r="K8" s="9">
        <f t="shared" si="5"/>
        <v>0.4722222222</v>
      </c>
      <c r="L8" s="9">
        <f t="shared" ref="L8:M8" si="17">D8-J8</f>
        <v>-0.5277777778</v>
      </c>
      <c r="M8" s="9">
        <f t="shared" si="17"/>
        <v>0.5277777778</v>
      </c>
      <c r="N8" s="10">
        <f t="shared" si="7"/>
        <v>0.2492283951</v>
      </c>
    </row>
    <row r="9">
      <c r="B9" s="12">
        <v>28.0</v>
      </c>
      <c r="C9" s="7" t="str">
        <f t="shared" si="2"/>
        <v>#N/A</v>
      </c>
      <c r="D9" s="8">
        <v>0.0</v>
      </c>
      <c r="E9" s="8">
        <v>1.0</v>
      </c>
      <c r="F9" s="8">
        <v>0.0</v>
      </c>
      <c r="G9" s="8">
        <v>0.0</v>
      </c>
      <c r="H9" s="8">
        <f t="shared" ref="H9:I9" si="18">H8-(D8+F8)</f>
        <v>19</v>
      </c>
      <c r="I9" s="8">
        <f t="shared" si="18"/>
        <v>16</v>
      </c>
      <c r="J9" s="9">
        <f t="shared" si="4"/>
        <v>0.5428571429</v>
      </c>
      <c r="K9" s="9">
        <f t="shared" si="5"/>
        <v>0.4571428571</v>
      </c>
      <c r="L9" s="9">
        <f t="shared" ref="L9:M9" si="19">D9-J9</f>
        <v>-0.5428571429</v>
      </c>
      <c r="M9" s="9">
        <f t="shared" si="19"/>
        <v>0.5428571429</v>
      </c>
      <c r="N9" s="10">
        <f t="shared" si="7"/>
        <v>0.2481632653</v>
      </c>
    </row>
    <row r="10">
      <c r="B10" s="6">
        <v>29.0</v>
      </c>
      <c r="C10" s="7" t="str">
        <f t="shared" si="2"/>
        <v>#N/A</v>
      </c>
      <c r="D10" s="8">
        <v>0.0</v>
      </c>
      <c r="E10" s="8">
        <v>1.0</v>
      </c>
      <c r="F10" s="8">
        <v>0.0</v>
      </c>
      <c r="G10" s="8">
        <v>0.0</v>
      </c>
      <c r="H10" s="8">
        <f t="shared" ref="H10:I10" si="20">H9-(D9+F9)</f>
        <v>19</v>
      </c>
      <c r="I10" s="8">
        <f t="shared" si="20"/>
        <v>15</v>
      </c>
      <c r="J10" s="9">
        <f t="shared" si="4"/>
        <v>0.5588235294</v>
      </c>
      <c r="K10" s="9">
        <f t="shared" si="5"/>
        <v>0.4411764706</v>
      </c>
      <c r="L10" s="9">
        <f t="shared" ref="L10:M10" si="21">D10-J10</f>
        <v>-0.5588235294</v>
      </c>
      <c r="M10" s="9">
        <f t="shared" si="21"/>
        <v>0.5588235294</v>
      </c>
      <c r="N10" s="10">
        <f t="shared" si="7"/>
        <v>0.2465397924</v>
      </c>
    </row>
    <row r="11">
      <c r="B11" s="12">
        <v>32.0</v>
      </c>
      <c r="C11" s="7" t="str">
        <f t="shared" si="2"/>
        <v>#N/A</v>
      </c>
      <c r="D11" s="8">
        <v>0.0</v>
      </c>
      <c r="E11" s="8">
        <v>1.0</v>
      </c>
      <c r="F11" s="8">
        <v>0.0</v>
      </c>
      <c r="G11" s="8">
        <v>0.0</v>
      </c>
      <c r="H11" s="8">
        <f t="shared" ref="H11:I11" si="22">H10-(D10+F10)</f>
        <v>19</v>
      </c>
      <c r="I11" s="8">
        <f t="shared" si="22"/>
        <v>14</v>
      </c>
      <c r="J11" s="9">
        <f t="shared" si="4"/>
        <v>0.5757575758</v>
      </c>
      <c r="K11" s="9">
        <f t="shared" si="5"/>
        <v>0.4242424242</v>
      </c>
      <c r="L11" s="9">
        <f t="shared" ref="L11:M11" si="23">D11-J11</f>
        <v>-0.5757575758</v>
      </c>
      <c r="M11" s="9">
        <f t="shared" si="23"/>
        <v>0.5757575758</v>
      </c>
      <c r="N11" s="10">
        <f t="shared" si="7"/>
        <v>0.2442607897</v>
      </c>
    </row>
    <row r="12">
      <c r="B12" s="6">
        <v>37.0</v>
      </c>
      <c r="C12" s="7" t="str">
        <f t="shared" si="2"/>
        <v>#N/A</v>
      </c>
      <c r="D12" s="8">
        <v>0.0</v>
      </c>
      <c r="E12" s="8">
        <v>1.0</v>
      </c>
      <c r="F12" s="8">
        <v>0.0</v>
      </c>
      <c r="G12" s="8">
        <v>0.0</v>
      </c>
      <c r="H12" s="8">
        <f t="shared" ref="H12:I12" si="24">H11-(D11+F11)</f>
        <v>19</v>
      </c>
      <c r="I12" s="8">
        <f t="shared" si="24"/>
        <v>13</v>
      </c>
      <c r="J12" s="9">
        <f t="shared" si="4"/>
        <v>0.59375</v>
      </c>
      <c r="K12" s="9">
        <f t="shared" si="5"/>
        <v>0.40625</v>
      </c>
      <c r="L12" s="9">
        <f t="shared" ref="L12:M12" si="25">D12-J12</f>
        <v>-0.59375</v>
      </c>
      <c r="M12" s="9">
        <f t="shared" si="25"/>
        <v>0.59375</v>
      </c>
      <c r="N12" s="10">
        <f t="shared" si="7"/>
        <v>0.2412109375</v>
      </c>
    </row>
    <row r="13">
      <c r="B13" s="12">
        <v>40.0</v>
      </c>
      <c r="C13" s="7" t="str">
        <f t="shared" si="2"/>
        <v>#N/A</v>
      </c>
      <c r="D13" s="8">
        <v>0.0</v>
      </c>
      <c r="E13" s="8">
        <v>1.0</v>
      </c>
      <c r="F13" s="8">
        <v>0.0</v>
      </c>
      <c r="G13" s="8">
        <v>0.0</v>
      </c>
      <c r="H13" s="8">
        <f t="shared" ref="H13:I13" si="26">H12-(D12+F12)</f>
        <v>19</v>
      </c>
      <c r="I13" s="8">
        <f t="shared" si="26"/>
        <v>12</v>
      </c>
      <c r="J13" s="9">
        <f t="shared" si="4"/>
        <v>0.6129032258</v>
      </c>
      <c r="K13" s="9">
        <f t="shared" si="5"/>
        <v>0.3870967742</v>
      </c>
      <c r="L13" s="9">
        <f t="shared" ref="L13:M13" si="27">D13-J13</f>
        <v>-0.6129032258</v>
      </c>
      <c r="M13" s="9">
        <f t="shared" si="27"/>
        <v>0.6129032258</v>
      </c>
      <c r="N13" s="10">
        <f t="shared" si="7"/>
        <v>0.2372528616</v>
      </c>
    </row>
    <row r="14">
      <c r="B14" s="6">
        <v>41.0</v>
      </c>
      <c r="C14" s="7" t="str">
        <f t="shared" si="2"/>
        <v>#N/A</v>
      </c>
      <c r="D14" s="8">
        <v>0.0</v>
      </c>
      <c r="E14" s="8">
        <v>1.0</v>
      </c>
      <c r="F14" s="8">
        <v>0.0</v>
      </c>
      <c r="G14" s="8">
        <v>0.0</v>
      </c>
      <c r="H14" s="8">
        <f t="shared" ref="H14:I14" si="28">H13-(D13+F13)</f>
        <v>19</v>
      </c>
      <c r="I14" s="8">
        <f t="shared" si="28"/>
        <v>11</v>
      </c>
      <c r="J14" s="9">
        <f t="shared" si="4"/>
        <v>0.6333333333</v>
      </c>
      <c r="K14" s="9">
        <f t="shared" si="5"/>
        <v>0.3666666667</v>
      </c>
      <c r="L14" s="9">
        <f t="shared" ref="L14:M14" si="29">D14-J14</f>
        <v>-0.6333333333</v>
      </c>
      <c r="M14" s="9">
        <f t="shared" si="29"/>
        <v>0.6333333333</v>
      </c>
      <c r="N14" s="10">
        <f t="shared" si="7"/>
        <v>0.2322222222</v>
      </c>
    </row>
    <row r="15">
      <c r="B15" s="12">
        <v>54.0</v>
      </c>
      <c r="C15" s="7" t="str">
        <f t="shared" si="2"/>
        <v>#N/A</v>
      </c>
      <c r="D15" s="8">
        <v>1.0</v>
      </c>
      <c r="E15" s="8">
        <v>1.0</v>
      </c>
      <c r="F15" s="8">
        <v>1.0</v>
      </c>
      <c r="G15" s="8">
        <v>0.0</v>
      </c>
      <c r="H15" s="8">
        <f t="shared" ref="H15:I15" si="30">H14-(D14+F14)</f>
        <v>19</v>
      </c>
      <c r="I15" s="8">
        <f t="shared" si="30"/>
        <v>10</v>
      </c>
      <c r="J15" s="9">
        <f t="shared" si="4"/>
        <v>1.310344828</v>
      </c>
      <c r="K15" s="9">
        <f t="shared" si="5"/>
        <v>0.6896551724</v>
      </c>
      <c r="L15" s="9">
        <f t="shared" ref="L15:M15" si="31">D15-J15</f>
        <v>-0.3103448276</v>
      </c>
      <c r="M15" s="9">
        <f t="shared" si="31"/>
        <v>0.3103448276</v>
      </c>
      <c r="N15" s="10">
        <f t="shared" si="7"/>
        <v>0.4357057924</v>
      </c>
    </row>
    <row r="16">
      <c r="B16" s="12">
        <v>61.0</v>
      </c>
      <c r="C16" s="7" t="str">
        <f t="shared" si="2"/>
        <v>#N/A</v>
      </c>
      <c r="D16" s="8">
        <v>0.0</v>
      </c>
      <c r="E16" s="8">
        <v>1.0</v>
      </c>
      <c r="F16" s="8">
        <v>0.0</v>
      </c>
      <c r="G16" s="8">
        <v>0.0</v>
      </c>
      <c r="H16" s="8">
        <f t="shared" ref="H16:I16" si="32">H15-(D15+F15)</f>
        <v>17</v>
      </c>
      <c r="I16" s="8">
        <f t="shared" si="32"/>
        <v>9</v>
      </c>
      <c r="J16" s="9">
        <f t="shared" si="4"/>
        <v>0.6538461538</v>
      </c>
      <c r="K16" s="9">
        <f t="shared" si="5"/>
        <v>0.3461538462</v>
      </c>
      <c r="L16" s="9">
        <f t="shared" ref="L16:M16" si="33">D16-J16</f>
        <v>-0.6538461538</v>
      </c>
      <c r="M16" s="9">
        <f t="shared" si="33"/>
        <v>0.6538461538</v>
      </c>
      <c r="N16" s="10">
        <f t="shared" si="7"/>
        <v>0.2263313609</v>
      </c>
    </row>
    <row r="17">
      <c r="B17" s="6">
        <v>63.0</v>
      </c>
      <c r="C17" s="7" t="str">
        <f t="shared" si="2"/>
        <v>#N/A</v>
      </c>
      <c r="D17" s="8">
        <v>0.0</v>
      </c>
      <c r="E17" s="8">
        <v>1.0</v>
      </c>
      <c r="F17" s="8">
        <v>0.0</v>
      </c>
      <c r="G17" s="8">
        <v>0.0</v>
      </c>
      <c r="H17" s="8">
        <f t="shared" ref="H17:I17" si="34">H16-(D16+F16)</f>
        <v>17</v>
      </c>
      <c r="I17" s="8">
        <f t="shared" si="34"/>
        <v>8</v>
      </c>
      <c r="J17" s="9">
        <f t="shared" si="4"/>
        <v>0.68</v>
      </c>
      <c r="K17" s="9">
        <f t="shared" si="5"/>
        <v>0.32</v>
      </c>
      <c r="L17" s="9">
        <f t="shared" ref="L17:M17" si="35">D17-J17</f>
        <v>-0.68</v>
      </c>
      <c r="M17" s="9">
        <f t="shared" si="35"/>
        <v>0.68</v>
      </c>
      <c r="N17" s="10">
        <f t="shared" si="7"/>
        <v>0.2176</v>
      </c>
    </row>
    <row r="18">
      <c r="B18" s="12">
        <v>68.0</v>
      </c>
      <c r="C18" s="7" t="str">
        <f t="shared" si="2"/>
        <v>#N/A</v>
      </c>
      <c r="D18" s="8">
        <v>1.0</v>
      </c>
      <c r="E18" s="8">
        <v>0.0</v>
      </c>
      <c r="F18" s="8">
        <v>0.0</v>
      </c>
      <c r="G18" s="8">
        <v>0.0</v>
      </c>
      <c r="H18" s="8">
        <f t="shared" ref="H18:I18" si="36">H17-(D17+F17)</f>
        <v>17</v>
      </c>
      <c r="I18" s="8">
        <f t="shared" si="36"/>
        <v>7</v>
      </c>
      <c r="J18" s="9">
        <f t="shared" si="4"/>
        <v>0.7083333333</v>
      </c>
      <c r="K18" s="9">
        <f t="shared" si="5"/>
        <v>0.2916666667</v>
      </c>
      <c r="L18" s="9">
        <f t="shared" ref="L18:M18" si="37">D18-J18</f>
        <v>0.2916666667</v>
      </c>
      <c r="M18" s="9">
        <f t="shared" si="37"/>
        <v>-0.2916666667</v>
      </c>
      <c r="N18" s="10">
        <f t="shared" si="7"/>
        <v>0.2065972222</v>
      </c>
    </row>
    <row r="19">
      <c r="B19" s="6">
        <v>71.0</v>
      </c>
      <c r="C19" s="7" t="str">
        <f t="shared" si="2"/>
        <v>#N/A</v>
      </c>
      <c r="D19" s="8">
        <v>0.0</v>
      </c>
      <c r="E19" s="8">
        <v>1.0</v>
      </c>
      <c r="F19" s="8">
        <v>0.0</v>
      </c>
      <c r="G19" s="8">
        <v>0.0</v>
      </c>
      <c r="H19" s="8">
        <f t="shared" ref="H19:I19" si="38">H18-(D18+F18)</f>
        <v>16</v>
      </c>
      <c r="I19" s="8">
        <f t="shared" si="38"/>
        <v>7</v>
      </c>
      <c r="J19" s="9">
        <f t="shared" si="4"/>
        <v>0.6956521739</v>
      </c>
      <c r="K19" s="9">
        <f t="shared" si="5"/>
        <v>0.3043478261</v>
      </c>
      <c r="L19" s="9">
        <f t="shared" ref="L19:M19" si="39">D19-J19</f>
        <v>-0.6956521739</v>
      </c>
      <c r="M19" s="9">
        <f t="shared" si="39"/>
        <v>0.6956521739</v>
      </c>
      <c r="N19" s="10">
        <f t="shared" si="7"/>
        <v>0.2117202268</v>
      </c>
    </row>
    <row r="20">
      <c r="B20" s="12">
        <v>89.0</v>
      </c>
      <c r="C20" s="7" t="str">
        <f t="shared" si="2"/>
        <v>#N/A</v>
      </c>
      <c r="D20" s="8">
        <v>1.0</v>
      </c>
      <c r="E20" s="8">
        <v>0.0</v>
      </c>
      <c r="F20" s="8">
        <v>0.0</v>
      </c>
      <c r="G20" s="8">
        <v>0.0</v>
      </c>
      <c r="H20" s="8">
        <f t="shared" ref="H20:I20" si="40">H19-(D19+F19)</f>
        <v>16</v>
      </c>
      <c r="I20" s="8">
        <f t="shared" si="40"/>
        <v>6</v>
      </c>
      <c r="J20" s="9">
        <f t="shared" si="4"/>
        <v>0.7272727273</v>
      </c>
      <c r="K20" s="9">
        <f t="shared" si="5"/>
        <v>0.2727272727</v>
      </c>
      <c r="L20" s="9">
        <f t="shared" ref="L20:M20" si="41">D20-J20</f>
        <v>0.2727272727</v>
      </c>
      <c r="M20" s="9">
        <f t="shared" si="41"/>
        <v>-0.2727272727</v>
      </c>
      <c r="N20" s="10">
        <f t="shared" si="7"/>
        <v>0.1983471074</v>
      </c>
    </row>
    <row r="21" ht="15.75" customHeight="1">
      <c r="B21" s="6">
        <v>96.0</v>
      </c>
      <c r="C21" s="7" t="str">
        <f t="shared" si="2"/>
        <v>#N/A</v>
      </c>
      <c r="D21" s="8">
        <v>2.0</v>
      </c>
      <c r="E21" s="8">
        <v>0.0</v>
      </c>
      <c r="F21" s="8">
        <v>5.0</v>
      </c>
      <c r="G21" s="8">
        <v>2.0</v>
      </c>
      <c r="H21" s="8">
        <f t="shared" ref="H21:I21" si="42">H20-(D20+F20)</f>
        <v>15</v>
      </c>
      <c r="I21" s="8">
        <f t="shared" si="42"/>
        <v>6</v>
      </c>
      <c r="J21" s="9">
        <f t="shared" si="4"/>
        <v>1.428571429</v>
      </c>
      <c r="K21" s="9">
        <f t="shared" si="5"/>
        <v>0.5714285714</v>
      </c>
      <c r="L21" s="9">
        <f t="shared" ref="L21:M21" si="43">D21-J21</f>
        <v>0.5714285714</v>
      </c>
      <c r="M21" s="9">
        <f t="shared" si="43"/>
        <v>-0.5714285714</v>
      </c>
      <c r="N21" s="10">
        <f t="shared" si="7"/>
        <v>0.387755102</v>
      </c>
    </row>
    <row r="22" ht="15.75" customHeight="1">
      <c r="B22" s="6">
        <v>143.0</v>
      </c>
      <c r="C22" s="7" t="str">
        <f t="shared" si="2"/>
        <v>#N/A</v>
      </c>
      <c r="D22" s="8">
        <v>1.0</v>
      </c>
      <c r="E22" s="8">
        <v>0.0</v>
      </c>
      <c r="F22" s="8">
        <v>1.0</v>
      </c>
      <c r="G22" s="8">
        <v>0.0</v>
      </c>
      <c r="H22" s="8">
        <f t="shared" ref="H22:I22" si="44">H21-(D21+F21)</f>
        <v>8</v>
      </c>
      <c r="I22" s="8">
        <f t="shared" si="44"/>
        <v>4</v>
      </c>
      <c r="J22" s="9">
        <f t="shared" si="4"/>
        <v>0.6666666667</v>
      </c>
      <c r="K22" s="9">
        <f t="shared" si="5"/>
        <v>0.3333333333</v>
      </c>
      <c r="L22" s="9">
        <f t="shared" ref="L22:M22" si="45">D22-J22</f>
        <v>0.3333333333</v>
      </c>
      <c r="M22" s="9">
        <f t="shared" si="45"/>
        <v>-0.3333333333</v>
      </c>
      <c r="N22" s="10">
        <f t="shared" si="7"/>
        <v>0.2222222222</v>
      </c>
    </row>
    <row r="23" ht="15.75" customHeight="1">
      <c r="B23" s="12">
        <v>146.0</v>
      </c>
      <c r="C23" s="7" t="str">
        <f t="shared" si="2"/>
        <v>#N/A</v>
      </c>
      <c r="D23" s="8">
        <v>1.0</v>
      </c>
      <c r="E23" s="8">
        <v>0.0</v>
      </c>
      <c r="F23" s="8">
        <v>2.0</v>
      </c>
      <c r="G23" s="8">
        <v>3.0</v>
      </c>
      <c r="H23" s="8">
        <f t="shared" ref="H23:I23" si="46">H22-(D22+F22)</f>
        <v>6</v>
      </c>
      <c r="I23" s="8">
        <f t="shared" si="46"/>
        <v>4</v>
      </c>
      <c r="J23" s="9">
        <f t="shared" si="4"/>
        <v>0.6</v>
      </c>
      <c r="K23" s="9">
        <f t="shared" si="5"/>
        <v>0.4</v>
      </c>
      <c r="L23" s="9">
        <f t="shared" ref="L23:M23" si="47">D23-J23</f>
        <v>0.4</v>
      </c>
      <c r="M23" s="9">
        <f t="shared" si="47"/>
        <v>-0.4</v>
      </c>
      <c r="N23" s="10">
        <f t="shared" si="7"/>
        <v>0.24</v>
      </c>
    </row>
    <row r="24" ht="15.75" customHeight="1">
      <c r="B24" s="13">
        <v>168.0</v>
      </c>
      <c r="C24" s="14" t="str">
        <f>CONCAT("[",B24,",",B26,")")</f>
        <v>#N/A</v>
      </c>
      <c r="D24" s="15">
        <v>1.0</v>
      </c>
      <c r="E24" s="15">
        <v>0.0</v>
      </c>
      <c r="F24" s="15">
        <v>2.0</v>
      </c>
      <c r="G24" s="15">
        <v>1.0</v>
      </c>
      <c r="H24" s="15">
        <f t="shared" ref="H24:I24" si="48">H23-(D23+F23)</f>
        <v>3</v>
      </c>
      <c r="I24" s="15">
        <f t="shared" si="48"/>
        <v>1</v>
      </c>
      <c r="J24" s="16">
        <f t="shared" si="4"/>
        <v>0.75</v>
      </c>
      <c r="K24" s="16">
        <f t="shared" si="5"/>
        <v>0.25</v>
      </c>
      <c r="L24" s="16">
        <f t="shared" ref="L24:M24" si="49">D24-J24</f>
        <v>0.25</v>
      </c>
      <c r="M24" s="16">
        <f t="shared" si="49"/>
        <v>-0.25</v>
      </c>
      <c r="N24" s="17">
        <f t="shared" si="7"/>
        <v>0.1875</v>
      </c>
    </row>
    <row r="25" ht="15.75" customHeight="1">
      <c r="A25" s="18"/>
      <c r="B25" s="19"/>
      <c r="C25" s="1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15.75" customHeight="1">
      <c r="B26" s="20" t="s">
        <v>13</v>
      </c>
      <c r="C26" s="21" t="s">
        <v>14</v>
      </c>
      <c r="D26" s="22">
        <f t="shared" ref="D26:G26" si="50">SUM(D2:D24)</f>
        <v>11</v>
      </c>
      <c r="E26" s="22">
        <f t="shared" si="50"/>
        <v>16</v>
      </c>
      <c r="F26" s="22">
        <f t="shared" si="50"/>
        <v>11</v>
      </c>
      <c r="G26" s="22">
        <f t="shared" si="50"/>
        <v>6</v>
      </c>
      <c r="H26" s="22"/>
      <c r="I26" s="22"/>
      <c r="J26" s="23">
        <f t="shared" ref="J26:N26" si="51">SUM(J2:J24)</f>
        <v>16.33337162</v>
      </c>
      <c r="K26" s="23">
        <f t="shared" si="51"/>
        <v>10.66662838</v>
      </c>
      <c r="L26" s="23">
        <f t="shared" si="51"/>
        <v>-5.333371617</v>
      </c>
      <c r="M26" s="23">
        <f t="shared" si="51"/>
        <v>5.333371617</v>
      </c>
      <c r="N26" s="24">
        <f t="shared" si="51"/>
        <v>6.195124434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5.0"/>
    <col customWidth="1" min="2" max="2" width="8.43"/>
    <col customWidth="1" min="3" max="3" width="7.43"/>
    <col customWidth="1" min="4" max="4" width="8.57"/>
    <col customWidth="1" min="5" max="26" width="10.71"/>
  </cols>
  <sheetData>
    <row r="1">
      <c r="A1" s="25" t="s">
        <v>15</v>
      </c>
      <c r="B1" s="25" t="s">
        <v>16</v>
      </c>
      <c r="C1" s="25" t="s">
        <v>17</v>
      </c>
      <c r="D1" s="25" t="s">
        <v>18</v>
      </c>
    </row>
    <row r="2">
      <c r="A2" s="25">
        <v>1.0</v>
      </c>
      <c r="B2" s="25">
        <v>1.0</v>
      </c>
      <c r="C2" s="25">
        <v>2.0</v>
      </c>
      <c r="D2" s="25">
        <v>1.0</v>
      </c>
    </row>
    <row r="3">
      <c r="A3" s="25">
        <v>1.0</v>
      </c>
      <c r="B3" s="25">
        <v>2.0</v>
      </c>
      <c r="C3" s="25">
        <v>2.0</v>
      </c>
      <c r="D3" s="25">
        <v>1.0</v>
      </c>
    </row>
    <row r="4">
      <c r="A4" s="25">
        <v>2.0</v>
      </c>
      <c r="B4" s="25">
        <v>1.0</v>
      </c>
      <c r="C4" s="25">
        <v>2.0</v>
      </c>
      <c r="D4" s="25">
        <v>1.0</v>
      </c>
    </row>
    <row r="5">
      <c r="A5" s="25">
        <v>2.0</v>
      </c>
      <c r="B5" s="25">
        <v>2.0</v>
      </c>
      <c r="C5" s="25">
        <v>3.0</v>
      </c>
      <c r="D5" s="25">
        <v>1.0</v>
      </c>
    </row>
    <row r="6">
      <c r="A6" s="25">
        <v>3.0</v>
      </c>
      <c r="B6" s="25">
        <v>2.0</v>
      </c>
      <c r="C6" s="25">
        <v>4.0</v>
      </c>
      <c r="D6" s="25">
        <v>1.0</v>
      </c>
    </row>
    <row r="7">
      <c r="A7" s="25">
        <v>3.0</v>
      </c>
      <c r="B7" s="25">
        <v>1.0</v>
      </c>
      <c r="C7" s="25">
        <v>12.0</v>
      </c>
      <c r="D7" s="25">
        <v>1.0</v>
      </c>
    </row>
    <row r="8">
      <c r="A8" s="25">
        <v>4.0</v>
      </c>
      <c r="B8" s="25">
        <v>2.0</v>
      </c>
      <c r="C8" s="25">
        <v>7.0</v>
      </c>
      <c r="D8" s="25">
        <v>1.0</v>
      </c>
    </row>
    <row r="9">
      <c r="A9" s="25">
        <v>4.0</v>
      </c>
      <c r="B9" s="25">
        <v>1.0</v>
      </c>
      <c r="C9" s="25">
        <v>54.0</v>
      </c>
      <c r="D9" s="25">
        <v>1.0</v>
      </c>
    </row>
    <row r="10">
      <c r="A10" s="25">
        <v>5.0</v>
      </c>
      <c r="B10" s="25">
        <v>1.0</v>
      </c>
      <c r="C10" s="25">
        <v>56.0</v>
      </c>
      <c r="D10" s="25">
        <v>0.0</v>
      </c>
    </row>
    <row r="11">
      <c r="A11" s="25">
        <v>5.0</v>
      </c>
      <c r="B11" s="25">
        <v>2.0</v>
      </c>
      <c r="C11" s="25">
        <v>10.0</v>
      </c>
      <c r="D11" s="25">
        <v>1.0</v>
      </c>
    </row>
    <row r="12">
      <c r="A12" s="25">
        <v>6.0</v>
      </c>
      <c r="B12" s="25">
        <v>2.0</v>
      </c>
      <c r="C12" s="25">
        <v>22.0</v>
      </c>
      <c r="D12" s="25">
        <v>1.0</v>
      </c>
    </row>
    <row r="13">
      <c r="A13" s="25">
        <v>6.0</v>
      </c>
      <c r="B13" s="25">
        <v>1.0</v>
      </c>
      <c r="C13" s="25">
        <v>68.0</v>
      </c>
      <c r="D13" s="25">
        <v>1.0</v>
      </c>
    </row>
    <row r="14">
      <c r="A14" s="25">
        <v>7.0</v>
      </c>
      <c r="B14" s="25">
        <v>2.0</v>
      </c>
      <c r="C14" s="25">
        <v>28.0</v>
      </c>
      <c r="D14" s="25">
        <v>1.0</v>
      </c>
    </row>
    <row r="15">
      <c r="A15" s="25">
        <v>7.0</v>
      </c>
      <c r="B15" s="25">
        <v>1.0</v>
      </c>
      <c r="C15" s="25">
        <v>89.0</v>
      </c>
      <c r="D15" s="25">
        <v>1.0</v>
      </c>
    </row>
    <row r="16">
      <c r="A16" s="25">
        <v>8.0</v>
      </c>
      <c r="B16" s="25">
        <v>2.0</v>
      </c>
      <c r="C16" s="25">
        <v>29.0</v>
      </c>
      <c r="D16" s="25">
        <v>1.0</v>
      </c>
    </row>
    <row r="17">
      <c r="A17" s="25">
        <v>8.0</v>
      </c>
      <c r="B17" s="25">
        <v>1.0</v>
      </c>
      <c r="C17" s="25">
        <v>96.0</v>
      </c>
      <c r="D17" s="25">
        <v>1.0</v>
      </c>
    </row>
    <row r="18">
      <c r="A18" s="25">
        <v>9.0</v>
      </c>
      <c r="B18" s="25">
        <v>2.0</v>
      </c>
      <c r="C18" s="25">
        <v>32.0</v>
      </c>
      <c r="D18" s="25">
        <v>1.0</v>
      </c>
    </row>
    <row r="19">
      <c r="A19" s="25">
        <v>9.0</v>
      </c>
      <c r="B19" s="25">
        <v>1.0</v>
      </c>
      <c r="C19" s="25">
        <v>96.0</v>
      </c>
      <c r="D19" s="25">
        <v>1.0</v>
      </c>
    </row>
    <row r="20">
      <c r="A20" s="25">
        <v>10.0</v>
      </c>
      <c r="B20" s="25">
        <v>1.0</v>
      </c>
      <c r="C20" s="25">
        <v>125.0</v>
      </c>
      <c r="D20" s="25">
        <v>0.0</v>
      </c>
    </row>
    <row r="21" ht="15.75" customHeight="1">
      <c r="A21" s="25">
        <v>10.0</v>
      </c>
      <c r="B21" s="25">
        <v>2.0</v>
      </c>
      <c r="C21" s="25">
        <v>37.0</v>
      </c>
      <c r="D21" s="25">
        <v>1.0</v>
      </c>
    </row>
    <row r="22" ht="15.75" customHeight="1">
      <c r="A22" s="25">
        <v>11.0</v>
      </c>
      <c r="B22" s="25">
        <v>1.0</v>
      </c>
      <c r="C22" s="25">
        <v>128.0</v>
      </c>
      <c r="D22" s="25">
        <v>0.0</v>
      </c>
    </row>
    <row r="23" ht="15.75" customHeight="1">
      <c r="A23" s="25">
        <v>11.0</v>
      </c>
      <c r="B23" s="25">
        <v>2.0</v>
      </c>
      <c r="C23" s="25">
        <v>40.0</v>
      </c>
      <c r="D23" s="25">
        <v>1.0</v>
      </c>
    </row>
    <row r="24" ht="15.75" customHeight="1">
      <c r="A24" s="25">
        <v>12.0</v>
      </c>
      <c r="B24" s="25">
        <v>1.0</v>
      </c>
      <c r="C24" s="25">
        <v>131.0</v>
      </c>
      <c r="D24" s="25">
        <v>0.0</v>
      </c>
    </row>
    <row r="25" ht="15.75" customHeight="1">
      <c r="A25" s="25">
        <v>12.0</v>
      </c>
      <c r="B25" s="25">
        <v>2.0</v>
      </c>
      <c r="C25" s="25">
        <v>41.0</v>
      </c>
      <c r="D25" s="25">
        <v>1.0</v>
      </c>
    </row>
    <row r="26" ht="15.75" customHeight="1">
      <c r="A26" s="25">
        <v>13.0</v>
      </c>
      <c r="B26" s="25">
        <v>1.0</v>
      </c>
      <c r="C26" s="25">
        <v>140.0</v>
      </c>
      <c r="D26" s="25">
        <v>0.0</v>
      </c>
    </row>
    <row r="27" ht="15.75" customHeight="1">
      <c r="A27" s="25">
        <v>13.0</v>
      </c>
      <c r="B27" s="25">
        <v>2.0</v>
      </c>
      <c r="C27" s="25">
        <v>54.0</v>
      </c>
      <c r="D27" s="25">
        <v>1.0</v>
      </c>
    </row>
    <row r="28" ht="15.75" customHeight="1">
      <c r="A28" s="25">
        <v>14.0</v>
      </c>
      <c r="B28" s="25">
        <v>1.0</v>
      </c>
      <c r="C28" s="25">
        <v>141.0</v>
      </c>
      <c r="D28" s="25">
        <v>0.0</v>
      </c>
    </row>
    <row r="29" ht="15.75" customHeight="1">
      <c r="A29" s="25">
        <v>14.0</v>
      </c>
      <c r="B29" s="25">
        <v>2.0</v>
      </c>
      <c r="C29" s="25">
        <v>61.0</v>
      </c>
      <c r="D29" s="25">
        <v>1.0</v>
      </c>
    </row>
    <row r="30" ht="15.75" customHeight="1">
      <c r="A30" s="25">
        <v>15.0</v>
      </c>
      <c r="B30" s="25">
        <v>2.0</v>
      </c>
      <c r="C30" s="25">
        <v>63.0</v>
      </c>
      <c r="D30" s="25">
        <v>1.0</v>
      </c>
    </row>
    <row r="31" ht="15.75" customHeight="1">
      <c r="A31" s="25">
        <v>15.0</v>
      </c>
      <c r="B31" s="25">
        <v>1.0</v>
      </c>
      <c r="C31" s="25">
        <v>143.0</v>
      </c>
      <c r="D31" s="25">
        <v>1.0</v>
      </c>
    </row>
    <row r="32" ht="15.75" customHeight="1">
      <c r="A32" s="25">
        <v>16.0</v>
      </c>
      <c r="B32" s="25">
        <v>1.0</v>
      </c>
      <c r="C32" s="25">
        <v>145.0</v>
      </c>
      <c r="D32" s="25">
        <v>0.0</v>
      </c>
    </row>
    <row r="33" ht="15.75" customHeight="1">
      <c r="A33" s="25">
        <v>16.0</v>
      </c>
      <c r="B33" s="25">
        <v>2.0</v>
      </c>
      <c r="C33" s="25">
        <v>71.0</v>
      </c>
      <c r="D33" s="25">
        <v>1.0</v>
      </c>
    </row>
    <row r="34" ht="15.75" customHeight="1">
      <c r="A34" s="25">
        <v>17.0</v>
      </c>
      <c r="B34" s="25">
        <v>1.0</v>
      </c>
      <c r="C34" s="25">
        <v>146.0</v>
      </c>
      <c r="D34" s="25">
        <v>1.0</v>
      </c>
    </row>
    <row r="35" ht="15.75" customHeight="1">
      <c r="A35" s="25">
        <v>17.0</v>
      </c>
      <c r="B35" s="25">
        <v>2.0</v>
      </c>
      <c r="C35" s="25">
        <v>127.0</v>
      </c>
      <c r="D35" s="25">
        <v>0.0</v>
      </c>
    </row>
    <row r="36" ht="15.75" customHeight="1">
      <c r="A36" s="25">
        <v>18.0</v>
      </c>
      <c r="B36" s="25">
        <v>1.0</v>
      </c>
      <c r="C36" s="25">
        <v>148.0</v>
      </c>
      <c r="D36" s="25">
        <v>0.0</v>
      </c>
    </row>
    <row r="37" ht="15.75" customHeight="1">
      <c r="A37" s="25">
        <v>18.0</v>
      </c>
      <c r="B37" s="25">
        <v>2.0</v>
      </c>
      <c r="C37" s="25">
        <v>140.0</v>
      </c>
      <c r="D37" s="25">
        <v>0.0</v>
      </c>
    </row>
    <row r="38" ht="15.75" customHeight="1">
      <c r="A38" s="25">
        <v>19.0</v>
      </c>
      <c r="B38" s="25">
        <v>1.0</v>
      </c>
      <c r="C38" s="25">
        <v>162.0</v>
      </c>
      <c r="D38" s="25">
        <v>0.0</v>
      </c>
    </row>
    <row r="39" ht="15.75" customHeight="1">
      <c r="A39" s="25">
        <v>19.0</v>
      </c>
      <c r="B39" s="25">
        <v>2.0</v>
      </c>
      <c r="C39" s="25">
        <v>146.0</v>
      </c>
      <c r="D39" s="25">
        <v>0.0</v>
      </c>
    </row>
    <row r="40" ht="15.75" customHeight="1">
      <c r="A40" s="25">
        <v>20.0</v>
      </c>
      <c r="B40" s="25">
        <v>1.0</v>
      </c>
      <c r="C40" s="25">
        <v>168.0</v>
      </c>
      <c r="D40" s="25">
        <v>1.0</v>
      </c>
    </row>
    <row r="41" ht="15.75" customHeight="1">
      <c r="A41" s="25">
        <v>20.0</v>
      </c>
      <c r="B41" s="25">
        <v>2.0</v>
      </c>
      <c r="C41" s="25">
        <v>158.0</v>
      </c>
      <c r="D41" s="25">
        <v>0.0</v>
      </c>
    </row>
    <row r="42" ht="15.75" customHeight="1">
      <c r="A42" s="25">
        <v>21.0</v>
      </c>
      <c r="B42" s="25">
        <v>1.0</v>
      </c>
      <c r="C42" s="25">
        <v>173.0</v>
      </c>
      <c r="D42" s="25">
        <v>0.0</v>
      </c>
    </row>
    <row r="43" ht="15.75" customHeight="1">
      <c r="A43" s="25">
        <v>21.0</v>
      </c>
      <c r="B43" s="25">
        <v>2.0</v>
      </c>
      <c r="C43" s="25">
        <v>167.0</v>
      </c>
      <c r="D43" s="25">
        <v>0.0</v>
      </c>
    </row>
    <row r="44" ht="15.75" customHeight="1">
      <c r="A44" s="25">
        <v>22.0</v>
      </c>
      <c r="B44" s="25">
        <v>1.0</v>
      </c>
      <c r="C44" s="25">
        <v>181.0</v>
      </c>
      <c r="D44" s="25">
        <v>0.0</v>
      </c>
    </row>
    <row r="45" ht="15.75" customHeight="1">
      <c r="A45" s="25">
        <v>22.0</v>
      </c>
      <c r="B45" s="25">
        <v>2.0</v>
      </c>
      <c r="C45" s="25">
        <v>182.0</v>
      </c>
      <c r="D45" s="25">
        <v>0.0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9.86"/>
    <col customWidth="1" min="3" max="3" width="2.0"/>
    <col customWidth="1" min="4" max="4" width="12.57"/>
    <col customWidth="1" min="5" max="26" width="10.71"/>
  </cols>
  <sheetData>
    <row r="1">
      <c r="A1" s="18" t="s">
        <v>18</v>
      </c>
      <c r="B1" s="20" t="s">
        <v>19</v>
      </c>
    </row>
    <row r="3">
      <c r="A3" s="18" t="s">
        <v>20</v>
      </c>
    </row>
    <row r="4">
      <c r="A4" s="26">
        <v>1.0</v>
      </c>
    </row>
    <row r="5">
      <c r="A5" s="26">
        <v>2.0</v>
      </c>
    </row>
    <row r="6">
      <c r="A6" s="26">
        <v>12.0</v>
      </c>
    </row>
    <row r="7">
      <c r="A7" s="26">
        <v>54.0</v>
      </c>
    </row>
    <row r="8">
      <c r="A8" s="26">
        <v>56.0</v>
      </c>
    </row>
    <row r="9">
      <c r="A9" s="26">
        <v>68.0</v>
      </c>
    </row>
    <row r="10">
      <c r="A10" s="26">
        <v>89.0</v>
      </c>
    </row>
    <row r="11">
      <c r="A11" s="26">
        <v>96.0</v>
      </c>
    </row>
    <row r="12">
      <c r="A12" s="26">
        <v>125.0</v>
      </c>
    </row>
    <row r="13">
      <c r="A13" s="26">
        <v>128.0</v>
      </c>
    </row>
    <row r="14">
      <c r="A14" s="26">
        <v>131.0</v>
      </c>
    </row>
    <row r="15">
      <c r="A15" s="26">
        <v>140.0</v>
      </c>
    </row>
    <row r="16">
      <c r="A16" s="26">
        <v>141.0</v>
      </c>
    </row>
    <row r="17">
      <c r="A17" s="26">
        <v>143.0</v>
      </c>
    </row>
    <row r="18">
      <c r="A18" s="26">
        <v>145.0</v>
      </c>
    </row>
    <row r="19">
      <c r="A19" s="26">
        <v>146.0</v>
      </c>
    </row>
    <row r="20">
      <c r="A20" s="26">
        <v>148.0</v>
      </c>
    </row>
    <row r="21" ht="15.75" customHeight="1">
      <c r="A21" s="26">
        <v>162.0</v>
      </c>
    </row>
    <row r="22" ht="15.75" customHeight="1">
      <c r="A22" s="26">
        <v>168.0</v>
      </c>
    </row>
    <row r="23" ht="15.75" customHeight="1">
      <c r="A23" s="26">
        <v>173.0</v>
      </c>
    </row>
    <row r="24" ht="15.75" customHeight="1">
      <c r="A24" s="26">
        <v>181.0</v>
      </c>
    </row>
    <row r="25" ht="15.75" customHeight="1">
      <c r="A25" s="26">
        <v>2.0</v>
      </c>
    </row>
    <row r="26" ht="15.75" customHeight="1">
      <c r="A26" s="26">
        <v>2.0</v>
      </c>
    </row>
    <row r="27" ht="15.75" customHeight="1">
      <c r="A27" s="26">
        <v>3.0</v>
      </c>
    </row>
    <row r="28" ht="15.75" customHeight="1">
      <c r="A28" s="26">
        <v>4.0</v>
      </c>
    </row>
    <row r="29" ht="15.75" customHeight="1">
      <c r="A29" s="26">
        <v>7.0</v>
      </c>
    </row>
    <row r="30" ht="15.75" customHeight="1">
      <c r="A30" s="26">
        <v>10.0</v>
      </c>
    </row>
    <row r="31" ht="15.75" customHeight="1">
      <c r="A31" s="26">
        <v>22.0</v>
      </c>
    </row>
    <row r="32" ht="15.75" customHeight="1">
      <c r="A32" s="26">
        <v>28.0</v>
      </c>
    </row>
    <row r="33" ht="15.75" customHeight="1">
      <c r="A33" s="26">
        <v>29.0</v>
      </c>
    </row>
    <row r="34" ht="15.75" customHeight="1">
      <c r="A34" s="26">
        <v>32.0</v>
      </c>
    </row>
    <row r="35" ht="15.75" customHeight="1">
      <c r="A35" s="26">
        <v>37.0</v>
      </c>
    </row>
    <row r="36" ht="15.75" customHeight="1">
      <c r="A36" s="26">
        <v>40.0</v>
      </c>
    </row>
    <row r="37" ht="15.75" customHeight="1">
      <c r="A37" s="26">
        <v>41.0</v>
      </c>
    </row>
    <row r="38" ht="15.75" customHeight="1">
      <c r="A38" s="26">
        <v>54.0</v>
      </c>
    </row>
    <row r="39" ht="15.75" customHeight="1">
      <c r="A39" s="26">
        <v>61.0</v>
      </c>
    </row>
    <row r="40" ht="15.75" customHeight="1">
      <c r="A40" s="26">
        <v>63.0</v>
      </c>
    </row>
    <row r="41" ht="15.75" customHeight="1">
      <c r="A41" s="26">
        <v>71.0</v>
      </c>
    </row>
    <row r="42" ht="15.75" customHeight="1">
      <c r="A42" s="26">
        <v>127.0</v>
      </c>
    </row>
    <row r="43" ht="15.75" customHeight="1">
      <c r="A43" s="26">
        <v>140.0</v>
      </c>
    </row>
    <row r="44" ht="15.75" customHeight="1">
      <c r="A44" s="26">
        <v>146.0</v>
      </c>
    </row>
    <row r="45" ht="15.75" customHeight="1">
      <c r="A45" s="26">
        <v>158.0</v>
      </c>
    </row>
    <row r="46" ht="15.75" customHeight="1">
      <c r="A46" s="26">
        <v>167.0</v>
      </c>
    </row>
    <row r="47" ht="15.75" customHeight="1">
      <c r="A47" s="26">
        <v>182.0</v>
      </c>
    </row>
    <row r="48" ht="15.75" customHeight="1">
      <c r="A48" s="26" t="s">
        <v>21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2023-03-15T13:01:57Z</dcterms:created>
  <dc:creator>Sala Idiomas Piso 1</dc:creator>
</cp:coreProperties>
</file>